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salesplan/"/>
    </mc:Choice>
  </mc:AlternateContent>
  <xr:revisionPtr revIDLastSave="0" documentId="13_ncr:1_{42A91D99-D653-F246-BEA8-91C25E20EE19}" xr6:coauthVersionLast="47" xr6:coauthVersionMax="47" xr10:uidLastSave="{00000000-0000-0000-0000-000000000000}"/>
  <bookViews>
    <workbookView xWindow="680" yWindow="780" windowWidth="28120" windowHeight="17540" tabRatio="500" xr2:uid="{00000000-000D-0000-FFFF-FFFF00000000}"/>
  </bookViews>
  <sheets>
    <sheet name="Sales Plan" sheetId="1" r:id="rId1"/>
  </sheets>
  <definedNames>
    <definedName name="_xlnm._FilterDatabase" localSheetId="0" hidden="1">'Sales Plan'!$B$5:$Q$8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6" i="1" l="1"/>
  <c r="P45" i="1"/>
  <c r="P42" i="1"/>
  <c r="P38" i="1"/>
  <c r="P34" i="1"/>
  <c r="P30" i="1"/>
  <c r="P26" i="1"/>
  <c r="P23" i="1"/>
  <c r="P20" i="1"/>
  <c r="P16" i="1"/>
  <c r="P12" i="1"/>
  <c r="P8" i="1"/>
  <c r="D8" i="1"/>
  <c r="I46" i="1"/>
  <c r="I45" i="1"/>
  <c r="I42" i="1"/>
  <c r="I38" i="1"/>
  <c r="I34" i="1"/>
  <c r="I30" i="1"/>
  <c r="I26" i="1"/>
  <c r="I23" i="1"/>
  <c r="I20" i="1"/>
  <c r="I16" i="1"/>
  <c r="I12" i="1"/>
  <c r="I8" i="1"/>
  <c r="J8" i="1"/>
  <c r="J12" i="1"/>
  <c r="J16" i="1"/>
  <c r="J20" i="1"/>
  <c r="J23" i="1"/>
  <c r="J26" i="1"/>
  <c r="J30" i="1"/>
  <c r="J34" i="1"/>
  <c r="J38" i="1"/>
  <c r="J42" i="1"/>
  <c r="J45" i="1"/>
  <c r="D45" i="1"/>
  <c r="E45" i="1"/>
  <c r="F45" i="1"/>
  <c r="G45" i="1"/>
  <c r="H45" i="1"/>
  <c r="K45" i="1"/>
  <c r="L45" i="1"/>
  <c r="M45" i="1"/>
  <c r="N45" i="1"/>
  <c r="O45" i="1"/>
  <c r="J46" i="1"/>
  <c r="D20" i="1"/>
  <c r="E20" i="1"/>
  <c r="F20" i="1"/>
  <c r="G20" i="1"/>
  <c r="H20" i="1"/>
  <c r="K20" i="1"/>
  <c r="L20" i="1"/>
  <c r="M20" i="1"/>
  <c r="N20" i="1"/>
  <c r="O20" i="1"/>
  <c r="Q19" i="1"/>
  <c r="Q18" i="1"/>
  <c r="D23" i="1"/>
  <c r="E23" i="1"/>
  <c r="F23" i="1"/>
  <c r="G23" i="1"/>
  <c r="H23" i="1"/>
  <c r="K23" i="1"/>
  <c r="L23" i="1"/>
  <c r="M23" i="1"/>
  <c r="N23" i="1"/>
  <c r="O23" i="1"/>
  <c r="Q22" i="1"/>
  <c r="Q21" i="1"/>
  <c r="D26" i="1"/>
  <c r="E26" i="1"/>
  <c r="F26" i="1"/>
  <c r="G26" i="1"/>
  <c r="H26" i="1"/>
  <c r="K26" i="1"/>
  <c r="L26" i="1"/>
  <c r="M26" i="1"/>
  <c r="N26" i="1"/>
  <c r="O26" i="1"/>
  <c r="Q25" i="1"/>
  <c r="Q24" i="1"/>
  <c r="D30" i="1"/>
  <c r="E30" i="1"/>
  <c r="F30" i="1"/>
  <c r="G30" i="1"/>
  <c r="H30" i="1"/>
  <c r="K30" i="1"/>
  <c r="L30" i="1"/>
  <c r="M30" i="1"/>
  <c r="N30" i="1"/>
  <c r="O30" i="1"/>
  <c r="Q29" i="1"/>
  <c r="Q28" i="1"/>
  <c r="D34" i="1"/>
  <c r="E34" i="1"/>
  <c r="F34" i="1"/>
  <c r="G34" i="1"/>
  <c r="H34" i="1"/>
  <c r="K34" i="1"/>
  <c r="L34" i="1"/>
  <c r="M34" i="1"/>
  <c r="N34" i="1"/>
  <c r="O34" i="1"/>
  <c r="Q33" i="1"/>
  <c r="Q32" i="1"/>
  <c r="D38" i="1"/>
  <c r="E38" i="1"/>
  <c r="F38" i="1"/>
  <c r="G38" i="1"/>
  <c r="H38" i="1"/>
  <c r="K38" i="1"/>
  <c r="L38" i="1"/>
  <c r="M38" i="1"/>
  <c r="N38" i="1"/>
  <c r="O38" i="1"/>
  <c r="Q37" i="1"/>
  <c r="Q36" i="1"/>
  <c r="D42" i="1"/>
  <c r="E42" i="1"/>
  <c r="F42" i="1"/>
  <c r="G42" i="1"/>
  <c r="H42" i="1"/>
  <c r="K42" i="1"/>
  <c r="L42" i="1"/>
  <c r="M42" i="1"/>
  <c r="N42" i="1"/>
  <c r="O42" i="1"/>
  <c r="Q41" i="1"/>
  <c r="Q40" i="1"/>
  <c r="D46" i="1"/>
  <c r="E46" i="1"/>
  <c r="F46" i="1"/>
  <c r="G46" i="1"/>
  <c r="H46" i="1"/>
  <c r="H47" i="1" s="1"/>
  <c r="K46" i="1"/>
  <c r="K47" i="1" s="1"/>
  <c r="L46" i="1"/>
  <c r="L47" i="1" s="1"/>
  <c r="M46" i="1"/>
  <c r="N46" i="1"/>
  <c r="O46" i="1"/>
  <c r="Q15" i="1"/>
  <c r="Q14" i="1"/>
  <c r="O16" i="1"/>
  <c r="N16" i="1"/>
  <c r="M16" i="1"/>
  <c r="L16" i="1"/>
  <c r="K16" i="1"/>
  <c r="H16" i="1"/>
  <c r="G16" i="1"/>
  <c r="F16" i="1"/>
  <c r="E16" i="1"/>
  <c r="D16" i="1"/>
  <c r="Q11" i="1"/>
  <c r="Q10" i="1"/>
  <c r="O12" i="1"/>
  <c r="N12" i="1"/>
  <c r="M12" i="1"/>
  <c r="L12" i="1"/>
  <c r="K12" i="1"/>
  <c r="H12" i="1"/>
  <c r="G12" i="1"/>
  <c r="F12" i="1"/>
  <c r="E12" i="1"/>
  <c r="D12" i="1"/>
  <c r="Q7" i="1"/>
  <c r="Q6" i="1"/>
  <c r="O8" i="1"/>
  <c r="N8" i="1"/>
  <c r="M8" i="1"/>
  <c r="L8" i="1"/>
  <c r="K8" i="1"/>
  <c r="H8" i="1"/>
  <c r="G8" i="1"/>
  <c r="F8" i="1"/>
  <c r="E8" i="1"/>
  <c r="Q20" i="1" l="1"/>
  <c r="P47" i="1"/>
  <c r="Q38" i="1"/>
  <c r="Q42" i="1"/>
  <c r="Q30" i="1"/>
  <c r="Q23" i="1"/>
  <c r="J47" i="1"/>
  <c r="Q8" i="1"/>
  <c r="Q16" i="1"/>
  <c r="G47" i="1"/>
  <c r="Q46" i="1"/>
  <c r="Q45" i="1"/>
  <c r="Q26" i="1"/>
  <c r="E47" i="1"/>
  <c r="N47" i="1"/>
  <c r="D47" i="1"/>
  <c r="I47" i="1"/>
  <c r="Q34" i="1"/>
  <c r="F47" i="1"/>
  <c r="Q12" i="1"/>
  <c r="O47" i="1"/>
  <c r="M47" i="1"/>
</calcChain>
</file>

<file path=xl/sharedStrings.xml><?xml version="1.0" encoding="utf-8"?>
<sst xmlns="http://schemas.openxmlformats.org/spreadsheetml/2006/main" count="50" uniqueCount="23">
  <si>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</si>
  <si>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</si>
  <si>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</si>
  <si>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</si>
  <si>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</si>
  <si>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</si>
  <si>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</si>
  <si>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</si>
  <si>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</si>
  <si>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</si>
  <si>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</si>
  <si>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</si>
  <si>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</si>
  <si>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6</t>
  </si>
  <si>
    <t>Item 7</t>
  </si>
  <si>
    <t>Item 8</t>
  </si>
  <si>
    <t>Item 9</t>
  </si>
  <si>
    <t>Item 10</t>
  </si>
  <si>
    <t>Jan</t>
  </si>
  <si>
    <t>May</t>
  </si>
  <si>
    <t>B</t>
  </si>
  <si>
    <t>APR</t>
  </si>
  <si>
    <t>SALES PLAN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</si>
</sst>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Q221"/>
  <sheetViews>
    <sheetView showGridLines="0" tabSelected="1" zoomScale="80" zoomScaleNormal="80" zoomScalePageLayoutView="80" workbookViewId="0">
      <selection activeCell="B4" sqref="B4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7" width="13.83203125" style="1" customWidth="1"/>
    <col min="18" max="16384" width="10.83203125" style="1"/>
  </cols>
  <sheetData>
    <row r="1" spans="2:17" ht="11" customHeight="1" x14ac:dyDescent="0.2"/>
    <row r="2" spans="2:17" ht="12.75" customHeight="1" x14ac:dyDescent="0.45">
      <c r="B2" s="24" t="s">
        <v>22</v>
      </c>
      <c r="C2" s="24"/>
      <c r="D2" s="6"/>
      <c r="E2" s="6"/>
      <c r="F2" s="6"/>
      <c r="G2" s="6"/>
      <c r="H2" s="6"/>
      <c r="I2" s="6"/>
      <c r="J2" s="6"/>
    </row>
    <row r="3" spans="2:17" ht="22" customHeight="1" x14ac:dyDescent="0.45">
      <c r="B3" s="24"/>
      <c r="C3" s="24"/>
      <c r="D3" s="6"/>
      <c r="E3" s="6"/>
      <c r="F3" s="6"/>
      <c r="G3" s="6"/>
      <c r="H3" s="6"/>
      <c r="I3" s="6"/>
      <c r="J3" s="6"/>
    </row>
    <row r="4" spans="2:17" ht="9" customHeight="1" x14ac:dyDescent="0.2">
      <c r="O4" s="2"/>
      <c r="P4" s="2"/>
    </row>
    <row r="5" spans="2:17" s="3" customFormat="1" ht="24" customHeight="1" x14ac:dyDescent="0.2">
      <c r="B5" s="7" t="s">
        <v>1</v>
      </c>
      <c r="C5" s="8"/>
      <c r="D5" s="9">
        <v>42370</v>
      </c>
      <c r="E5" s="9">
        <v>42401</v>
      </c>
      <c r="F5" s="9">
        <v>42430</v>
      </c>
      <c r="G5" s="9" t="s">
        <v>21</v>
      </c>
      <c r="H5" s="9" t="s">
        <v>19</v>
      </c>
      <c r="I5" s="9">
        <v>42522</v>
      </c>
      <c r="J5" s="9">
        <v>42552</v>
      </c>
      <c r="K5" s="9">
        <v>42583</v>
      </c>
      <c r="L5" s="9">
        <v>42614</v>
      </c>
      <c r="M5" s="9">
        <v>42644</v>
      </c>
      <c r="N5" s="9">
        <v>42675</v>
      </c>
      <c r="O5" s="9">
        <v>42705</v>
      </c>
      <c r="P5" s="9" t="s">
        <v>18</v>
      </c>
      <c r="Q5" s="10" t="s">
        <v>0</v>
      </c>
    </row>
    <row r="6" spans="2:17" ht="18" customHeight="1" x14ac:dyDescent="0.2">
      <c r="B6" s="17" t="s">
        <v>9</v>
      </c>
      <c r="C6" s="11" t="s">
        <v>4</v>
      </c>
      <c r="D6" s="12">
        <v>420</v>
      </c>
      <c r="E6" s="12">
        <v>350</v>
      </c>
      <c r="F6" s="12">
        <v>500</v>
      </c>
      <c r="G6" s="12">
        <v>350</v>
      </c>
      <c r="H6" s="12">
        <v>400</v>
      </c>
      <c r="I6" s="12">
        <v>400</v>
      </c>
      <c r="J6" s="12">
        <v>400</v>
      </c>
      <c r="K6" s="12">
        <v>350</v>
      </c>
      <c r="L6" s="12">
        <v>450</v>
      </c>
      <c r="M6" s="12">
        <v>350</v>
      </c>
      <c r="N6" s="12">
        <v>510</v>
      </c>
      <c r="O6" s="12">
        <v>350</v>
      </c>
      <c r="P6" s="12">
        <v>350</v>
      </c>
      <c r="Q6" s="13">
        <f>SUM(D6:O6)</f>
        <v>4830</v>
      </c>
    </row>
    <row r="7" spans="2:17" ht="18" customHeight="1" x14ac:dyDescent="0.2">
      <c r="B7" s="18"/>
      <c r="C7" s="11" t="s">
        <v>3</v>
      </c>
      <c r="D7" s="13">
        <v>600</v>
      </c>
      <c r="E7" s="13">
        <v>400</v>
      </c>
      <c r="F7" s="13">
        <v>500</v>
      </c>
      <c r="G7" s="13">
        <v>400</v>
      </c>
      <c r="H7" s="13">
        <v>500</v>
      </c>
      <c r="I7" s="13">
        <v>500</v>
      </c>
      <c r="J7" s="13">
        <v>500</v>
      </c>
      <c r="K7" s="13">
        <v>400</v>
      </c>
      <c r="L7" s="13">
        <v>500</v>
      </c>
      <c r="M7" s="13">
        <v>400</v>
      </c>
      <c r="N7" s="13">
        <v>500</v>
      </c>
      <c r="O7" s="13">
        <v>400</v>
      </c>
      <c r="P7" s="13">
        <v>400</v>
      </c>
      <c r="Q7" s="13">
        <f>SUM(D7:O7)</f>
        <v>5600</v>
      </c>
    </row>
    <row r="8" spans="2:17" ht="24" customHeight="1" x14ac:dyDescent="0.2">
      <c r="B8" s="19"/>
      <c r="C8" s="14" t="s">
        <v>7</v>
      </c>
      <c r="D8" s="15">
        <f t="shared" ref="D8:Q8" si="0">(D7-D6)/D6</f>
        <v>0.42857142857142855</v>
      </c>
      <c r="E8" s="15">
        <f t="shared" si="0"/>
        <v>0.14285714285714285</v>
      </c>
      <c r="F8" s="15">
        <f t="shared" si="0"/>
        <v>0</v>
      </c>
      <c r="G8" s="15">
        <f t="shared" si="0"/>
        <v>0.14285714285714285</v>
      </c>
      <c r="H8" s="15">
        <f t="shared" si="0"/>
        <v>0.25</v>
      </c>
      <c r="I8" s="15">
        <f t="shared" ref="I8" si="1">(I7-I6)/I6</f>
        <v>0.25</v>
      </c>
      <c r="J8" s="15">
        <f t="shared" si="0"/>
        <v>0.25</v>
      </c>
      <c r="K8" s="15">
        <f t="shared" si="0"/>
        <v>0.14285714285714285</v>
      </c>
      <c r="L8" s="15">
        <f t="shared" si="0"/>
        <v>0.1111111111111111</v>
      </c>
      <c r="M8" s="15">
        <f t="shared" si="0"/>
        <v>0.14285714285714285</v>
      </c>
      <c r="N8" s="15">
        <f t="shared" si="0"/>
        <v>-1.9607843137254902E-2</v>
      </c>
      <c r="O8" s="15">
        <f t="shared" si="0"/>
        <v>0.14285714285714285</v>
      </c>
      <c r="P8" s="15">
        <f t="shared" ref="P8" si="2">(P7-P6)/P6</f>
        <v>0.14285714285714285</v>
      </c>
      <c r="Q8" s="15">
        <f t="shared" si="0"/>
        <v>0.15942028985507245</v>
      </c>
    </row>
    <row r="9" spans="2:17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ht="18" customHeight="1" x14ac:dyDescent="0.2">
      <c r="B10" s="17" t="s">
        <v>10</v>
      </c>
      <c r="C10" s="11" t="s">
        <v>4</v>
      </c>
      <c r="D10" s="12">
        <v>400</v>
      </c>
      <c r="E10" s="12">
        <v>350</v>
      </c>
      <c r="F10" s="12">
        <v>200</v>
      </c>
      <c r="G10" s="12">
        <v>350</v>
      </c>
      <c r="H10" s="12">
        <v>400</v>
      </c>
      <c r="I10" s="12">
        <v>400</v>
      </c>
      <c r="J10" s="12">
        <v>400</v>
      </c>
      <c r="K10" s="12">
        <v>350</v>
      </c>
      <c r="L10" s="12">
        <v>450</v>
      </c>
      <c r="M10" s="12">
        <v>350</v>
      </c>
      <c r="N10" s="12">
        <v>450</v>
      </c>
      <c r="O10" s="12">
        <v>350</v>
      </c>
      <c r="P10" s="12">
        <v>350</v>
      </c>
      <c r="Q10" s="13">
        <f>SUM(D10:O10)</f>
        <v>4450</v>
      </c>
    </row>
    <row r="11" spans="2:17" ht="18" customHeight="1" x14ac:dyDescent="0.2">
      <c r="B11" s="18"/>
      <c r="C11" s="11" t="s">
        <v>3</v>
      </c>
      <c r="D11" s="13">
        <v>500</v>
      </c>
      <c r="E11" s="13">
        <v>400</v>
      </c>
      <c r="F11" s="13">
        <v>500</v>
      </c>
      <c r="G11" s="13">
        <v>400</v>
      </c>
      <c r="H11" s="13">
        <v>500</v>
      </c>
      <c r="I11" s="13">
        <v>500</v>
      </c>
      <c r="J11" s="13">
        <v>500</v>
      </c>
      <c r="K11" s="13">
        <v>400</v>
      </c>
      <c r="L11" s="13">
        <v>500</v>
      </c>
      <c r="M11" s="13">
        <v>400</v>
      </c>
      <c r="N11" s="13">
        <v>500</v>
      </c>
      <c r="O11" s="13">
        <v>400</v>
      </c>
      <c r="P11" s="13">
        <v>400</v>
      </c>
      <c r="Q11" s="13">
        <f>SUM(D11:O11)</f>
        <v>5500</v>
      </c>
    </row>
    <row r="12" spans="2:17" ht="24" customHeight="1" x14ac:dyDescent="0.2">
      <c r="B12" s="19"/>
      <c r="C12" s="14" t="s">
        <v>7</v>
      </c>
      <c r="D12" s="15">
        <f t="shared" ref="D12:Q12" si="3">(D11-D10)/D10</f>
        <v>0.25</v>
      </c>
      <c r="E12" s="15">
        <f t="shared" si="3"/>
        <v>0.14285714285714285</v>
      </c>
      <c r="F12" s="15">
        <f t="shared" si="3"/>
        <v>1.5</v>
      </c>
      <c r="G12" s="15">
        <f t="shared" si="3"/>
        <v>0.14285714285714285</v>
      </c>
      <c r="H12" s="15">
        <f t="shared" si="3"/>
        <v>0.25</v>
      </c>
      <c r="I12" s="15">
        <f t="shared" ref="I12" si="4">(I11-I10)/I10</f>
        <v>0.25</v>
      </c>
      <c r="J12" s="15">
        <f t="shared" si="3"/>
        <v>0.25</v>
      </c>
      <c r="K12" s="15">
        <f t="shared" si="3"/>
        <v>0.14285714285714285</v>
      </c>
      <c r="L12" s="15">
        <f t="shared" si="3"/>
        <v>0.1111111111111111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ref="P12" si="5">(P11-P10)/P10</f>
        <v>0.14285714285714285</v>
      </c>
      <c r="Q12" s="15">
        <f t="shared" si="3"/>
        <v>0.23595505617977527</v>
      </c>
    </row>
    <row r="13" spans="2:17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ht="18" customHeight="1" x14ac:dyDescent="0.2">
      <c r="B14" s="17" t="s">
        <v>11</v>
      </c>
      <c r="C14" s="11" t="s">
        <v>4</v>
      </c>
      <c r="D14" s="12">
        <v>400</v>
      </c>
      <c r="E14" s="12">
        <v>350</v>
      </c>
      <c r="F14" s="12">
        <v>300</v>
      </c>
      <c r="G14" s="12">
        <v>350</v>
      </c>
      <c r="H14" s="12">
        <v>400</v>
      </c>
      <c r="I14" s="12">
        <v>400</v>
      </c>
      <c r="J14" s="12">
        <v>400</v>
      </c>
      <c r="K14" s="12">
        <v>350</v>
      </c>
      <c r="L14" s="12">
        <v>450</v>
      </c>
      <c r="M14" s="12">
        <v>350</v>
      </c>
      <c r="N14" s="12">
        <v>450</v>
      </c>
      <c r="O14" s="12">
        <v>350</v>
      </c>
      <c r="P14" s="12">
        <v>350</v>
      </c>
      <c r="Q14" s="13">
        <f>SUM(D14:O14)</f>
        <v>4550</v>
      </c>
    </row>
    <row r="15" spans="2:17" ht="18" customHeight="1" x14ac:dyDescent="0.2">
      <c r="B15" s="18"/>
      <c r="C15" s="11" t="s">
        <v>3</v>
      </c>
      <c r="D15" s="13">
        <v>500</v>
      </c>
      <c r="E15" s="13">
        <v>400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  <c r="L15" s="13">
        <v>500</v>
      </c>
      <c r="M15" s="13">
        <v>400</v>
      </c>
      <c r="N15" s="13">
        <v>500</v>
      </c>
      <c r="O15" s="13">
        <v>400</v>
      </c>
      <c r="P15" s="13">
        <v>400</v>
      </c>
      <c r="Q15" s="13">
        <f>SUM(D15:O15)</f>
        <v>5500</v>
      </c>
    </row>
    <row r="16" spans="2:17" ht="24" customHeight="1" x14ac:dyDescent="0.2">
      <c r="B16" s="19"/>
      <c r="C16" s="14" t="s">
        <v>7</v>
      </c>
      <c r="D16" s="15">
        <f t="shared" ref="D16:Q16" si="6">(D15-D14)/D14</f>
        <v>0.25</v>
      </c>
      <c r="E16" s="15">
        <f t="shared" si="6"/>
        <v>0.14285714285714285</v>
      </c>
      <c r="F16" s="15">
        <f t="shared" si="6"/>
        <v>0.66666666666666663</v>
      </c>
      <c r="G16" s="15">
        <f t="shared" si="6"/>
        <v>0.14285714285714285</v>
      </c>
      <c r="H16" s="15">
        <f t="shared" si="6"/>
        <v>0.25</v>
      </c>
      <c r="I16" s="15">
        <f t="shared" ref="I16" si="7">(I15-I14)/I14</f>
        <v>0.25</v>
      </c>
      <c r="J16" s="15">
        <f t="shared" si="6"/>
        <v>0.25</v>
      </c>
      <c r="K16" s="15">
        <f t="shared" si="6"/>
        <v>0.14285714285714285</v>
      </c>
      <c r="L16" s="15">
        <f t="shared" si="6"/>
        <v>0.1111111111111111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ref="P16" si="8">(P15-P14)/P14</f>
        <v>0.14285714285714285</v>
      </c>
      <c r="Q16" s="15">
        <f t="shared" si="6"/>
        <v>0.2087912087912088</v>
      </c>
    </row>
    <row r="17" spans="2:17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 ht="18" customHeight="1" x14ac:dyDescent="0.2">
      <c r="B18" s="17" t="s">
        <v>12</v>
      </c>
      <c r="C18" s="11" t="s">
        <v>4</v>
      </c>
      <c r="D18" s="12">
        <v>20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3">
        <f>SUM(D18:O18)</f>
        <v>20</v>
      </c>
    </row>
    <row r="19" spans="2:17" ht="18" customHeight="1" x14ac:dyDescent="0.2">
      <c r="B19" s="18"/>
      <c r="C19" s="11" t="s">
        <v>3</v>
      </c>
      <c r="D19" s="13">
        <v>40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f>SUM(D19:O19)</f>
        <v>40</v>
      </c>
    </row>
    <row r="20" spans="2:17" ht="24" customHeight="1" x14ac:dyDescent="0.2">
      <c r="B20" s="19"/>
      <c r="C20" s="14" t="s">
        <v>7</v>
      </c>
      <c r="D20" s="15">
        <f t="shared" ref="D20:Q20" si="9">(D19-D18)/D18</f>
        <v>1</v>
      </c>
      <c r="E20" s="15" t="e">
        <f t="shared" si="9"/>
        <v>#DIV/0!</v>
      </c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ref="I20" si="10">(I19-I18)/I18</f>
        <v>#DIV/0!</v>
      </c>
      <c r="J20" s="15" t="e">
        <f t="shared" si="9"/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ref="P20" si="11">(P19-P18)/P18</f>
        <v>#DIV/0!</v>
      </c>
      <c r="Q20" s="15">
        <f t="shared" si="9"/>
        <v>1</v>
      </c>
    </row>
    <row r="21" spans="2:17" ht="18" customHeight="1" x14ac:dyDescent="0.2">
      <c r="B21" s="17" t="s">
        <v>20</v>
      </c>
      <c r="C21" s="11" t="s">
        <v>4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3">
        <f>SUM(D21:O21)</f>
        <v>0</v>
      </c>
    </row>
    <row r="22" spans="2:17" ht="18" customHeight="1" x14ac:dyDescent="0.2">
      <c r="B22" s="18"/>
      <c r="C22" s="11" t="s">
        <v>3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f>SUM(D22:O22)</f>
        <v>0</v>
      </c>
    </row>
    <row r="23" spans="2:17" ht="24" customHeight="1" x14ac:dyDescent="0.2">
      <c r="B23" s="19"/>
      <c r="C23" s="14" t="s">
        <v>7</v>
      </c>
      <c r="D23" s="15" t="e">
        <f t="shared" ref="D23:Q23" si="12">(D22-D21)/D21</f>
        <v>#DIV/0!</v>
      </c>
      <c r="E23" s="15" t="e">
        <f t="shared" si="12"/>
        <v>#DIV/0!</v>
      </c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ref="I23" si="13">(I22-I21)/I21</f>
        <v>#DIV/0!</v>
      </c>
      <c r="J23" s="15" t="e">
        <f t="shared" si="12"/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ref="P23" si="14">(P22-P21)/P21</f>
        <v>#DIV/0!</v>
      </c>
      <c r="Q23" s="15" t="e">
        <f t="shared" si="12"/>
        <v>#DIV/0!</v>
      </c>
    </row>
    <row r="24" spans="2:17" ht="18" customHeight="1" x14ac:dyDescent="0.2">
      <c r="B24" s="17" t="s">
        <v>13</v>
      </c>
      <c r="C24" s="11" t="s">
        <v>4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3">
        <f>SUM(D24:O24)</f>
        <v>0</v>
      </c>
    </row>
    <row r="25" spans="2:17" ht="18" customHeight="1" x14ac:dyDescent="0.2">
      <c r="B25" s="18"/>
      <c r="C25" s="11" t="s">
        <v>3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f>SUM(D25:O25)</f>
        <v>0</v>
      </c>
    </row>
    <row r="26" spans="2:17" ht="24" customHeight="1" x14ac:dyDescent="0.2">
      <c r="B26" s="19"/>
      <c r="C26" s="14" t="s">
        <v>7</v>
      </c>
      <c r="D26" s="15" t="e">
        <f t="shared" ref="D26" si="15">(D25-D24)/D24</f>
        <v>#DIV/0!</v>
      </c>
      <c r="E26" s="15" t="e">
        <f t="shared" ref="E26" si="16">(E25-E24)/E24</f>
        <v>#DIV/0!</v>
      </c>
      <c r="F26" s="15" t="e">
        <f t="shared" ref="F26" si="17">(F25-F24)/F24</f>
        <v>#DIV/0!</v>
      </c>
      <c r="G26" s="15" t="e">
        <f t="shared" ref="G26" si="18">(G25-G24)/G24</f>
        <v>#DIV/0!</v>
      </c>
      <c r="H26" s="15" t="e">
        <f t="shared" ref="H26:I26" si="19">(H25-H24)/H24</f>
        <v>#DIV/0!</v>
      </c>
      <c r="I26" s="15" t="e">
        <f t="shared" si="19"/>
        <v>#DIV/0!</v>
      </c>
      <c r="J26" s="15" t="e">
        <f t="shared" ref="J26" si="20">(J25-J24)/J24</f>
        <v>#DIV/0!</v>
      </c>
      <c r="K26" s="15" t="e">
        <f t="shared" ref="K26" si="21">(K25-K24)/K24</f>
        <v>#DIV/0!</v>
      </c>
      <c r="L26" s="15" t="e">
        <f t="shared" ref="L26" si="22">(L25-L24)/L24</f>
        <v>#DIV/0!</v>
      </c>
      <c r="M26" s="15" t="e">
        <f t="shared" ref="M26" si="23">(M25-M24)/M24</f>
        <v>#DIV/0!</v>
      </c>
      <c r="N26" s="15" t="e">
        <f t="shared" ref="N26" si="24">(N25-N24)/N24</f>
        <v>#DIV/0!</v>
      </c>
      <c r="O26" s="15" t="e">
        <f t="shared" ref="O26:P26" si="25">(O25-O24)/O24</f>
        <v>#DIV/0!</v>
      </c>
      <c r="P26" s="15" t="e">
        <f t="shared" si="25"/>
        <v>#DIV/0!</v>
      </c>
      <c r="Q26" s="15" t="e">
        <f t="shared" ref="Q26" si="26">(Q25-Q24)/Q24</f>
        <v>#DIV/0!</v>
      </c>
    </row>
    <row r="27" spans="2:17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2:17" ht="18" customHeight="1" x14ac:dyDescent="0.2">
      <c r="B28" s="17" t="s">
        <v>14</v>
      </c>
      <c r="C28" s="11" t="s">
        <v>4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3">
        <f>SUM(D28:O28)</f>
        <v>0</v>
      </c>
    </row>
    <row r="29" spans="2:17" ht="18" customHeight="1" x14ac:dyDescent="0.2">
      <c r="B29" s="18"/>
      <c r="C29" s="11" t="s">
        <v>3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f>SUM(D29:O29)</f>
        <v>0</v>
      </c>
    </row>
    <row r="30" spans="2:17" ht="24" customHeight="1" x14ac:dyDescent="0.2">
      <c r="B30" s="19"/>
      <c r="C30" s="14" t="s">
        <v>7</v>
      </c>
      <c r="D30" s="15" t="e">
        <f t="shared" ref="D30" si="27">(D29-D28)/D28</f>
        <v>#DIV/0!</v>
      </c>
      <c r="E30" s="15" t="e">
        <f t="shared" ref="E30" si="28">(E29-E28)/E28</f>
        <v>#DIV/0!</v>
      </c>
      <c r="F30" s="15" t="e">
        <f t="shared" ref="F30" si="29">(F29-F28)/F28</f>
        <v>#DIV/0!</v>
      </c>
      <c r="G30" s="15" t="e">
        <f t="shared" ref="G30" si="30">(G29-G28)/G28</f>
        <v>#DIV/0!</v>
      </c>
      <c r="H30" s="15" t="e">
        <f t="shared" ref="H30:I30" si="31">(H29-H28)/H28</f>
        <v>#DIV/0!</v>
      </c>
      <c r="I30" s="15" t="e">
        <f t="shared" si="31"/>
        <v>#DIV/0!</v>
      </c>
      <c r="J30" s="15" t="e">
        <f t="shared" ref="J30" si="32">(J29-J28)/J28</f>
        <v>#DIV/0!</v>
      </c>
      <c r="K30" s="15" t="e">
        <f t="shared" ref="K30" si="33">(K29-K28)/K28</f>
        <v>#DIV/0!</v>
      </c>
      <c r="L30" s="15" t="e">
        <f t="shared" ref="L30" si="34">(L29-L28)/L28</f>
        <v>#DIV/0!</v>
      </c>
      <c r="M30" s="15" t="e">
        <f t="shared" ref="M30" si="35">(M29-M28)/M28</f>
        <v>#DIV/0!</v>
      </c>
      <c r="N30" s="15" t="e">
        <f t="shared" ref="N30" si="36">(N29-N28)/N28</f>
        <v>#DIV/0!</v>
      </c>
      <c r="O30" s="15" t="e">
        <f t="shared" ref="O30:P30" si="37">(O29-O28)/O28</f>
        <v>#DIV/0!</v>
      </c>
      <c r="P30" s="15" t="e">
        <f t="shared" si="37"/>
        <v>#DIV/0!</v>
      </c>
      <c r="Q30" s="15" t="e">
        <f t="shared" ref="Q30" si="38">(Q29-Q28)/Q28</f>
        <v>#DIV/0!</v>
      </c>
    </row>
    <row r="31" spans="2:17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2:17" ht="18" customHeight="1" x14ac:dyDescent="0.2">
      <c r="B32" s="17" t="s">
        <v>15</v>
      </c>
      <c r="C32" s="11" t="s">
        <v>4</v>
      </c>
      <c r="D32" s="12">
        <v>0</v>
      </c>
      <c r="E32" s="12">
        <v>0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3">
        <f>SUM(D32:O32)</f>
        <v>0</v>
      </c>
    </row>
    <row r="33" spans="2:17" ht="18" customHeight="1" x14ac:dyDescent="0.2">
      <c r="B33" s="18"/>
      <c r="C33" s="11" t="s">
        <v>3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f>SUM(D33:O33)</f>
        <v>0</v>
      </c>
    </row>
    <row r="34" spans="2:17" ht="24" customHeight="1" x14ac:dyDescent="0.2">
      <c r="B34" s="19"/>
      <c r="C34" s="14" t="s">
        <v>7</v>
      </c>
      <c r="D34" s="15" t="e">
        <f t="shared" ref="D34" si="39">(D33-D32)/D32</f>
        <v>#DIV/0!</v>
      </c>
      <c r="E34" s="15" t="e">
        <f t="shared" ref="E34" si="40">(E33-E32)/E32</f>
        <v>#DIV/0!</v>
      </c>
      <c r="F34" s="15" t="e">
        <f t="shared" ref="F34" si="41">(F33-F32)/F32</f>
        <v>#DIV/0!</v>
      </c>
      <c r="G34" s="15" t="e">
        <f t="shared" ref="G34" si="42">(G33-G32)/G32</f>
        <v>#DIV/0!</v>
      </c>
      <c r="H34" s="15" t="e">
        <f t="shared" ref="H34:I34" si="43">(H33-H32)/H32</f>
        <v>#DIV/0!</v>
      </c>
      <c r="I34" s="15" t="e">
        <f t="shared" si="43"/>
        <v>#DIV/0!</v>
      </c>
      <c r="J34" s="15" t="e">
        <f t="shared" ref="J34" si="44">(J33-J32)/J32</f>
        <v>#DIV/0!</v>
      </c>
      <c r="K34" s="15" t="e">
        <f t="shared" ref="K34" si="45">(K33-K32)/K32</f>
        <v>#DIV/0!</v>
      </c>
      <c r="L34" s="15" t="e">
        <f t="shared" ref="L34" si="46">(L33-L32)/L32</f>
        <v>#DIV/0!</v>
      </c>
      <c r="M34" s="15" t="e">
        <f t="shared" ref="M34" si="47">(M33-M32)/M32</f>
        <v>#DIV/0!</v>
      </c>
      <c r="N34" s="15" t="e">
        <f t="shared" ref="N34" si="48">(N33-N32)/N32</f>
        <v>#DIV/0!</v>
      </c>
      <c r="O34" s="15" t="e">
        <f t="shared" ref="O34:P34" si="49">(O33-O32)/O32</f>
        <v>#DIV/0!</v>
      </c>
      <c r="P34" s="15" t="e">
        <f t="shared" si="49"/>
        <v>#DIV/0!</v>
      </c>
      <c r="Q34" s="15" t="e">
        <f t="shared" ref="Q34" si="50">(Q33-Q32)/Q32</f>
        <v>#DIV/0!</v>
      </c>
    </row>
    <row r="35" spans="2:17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2:17" ht="18" customHeight="1" x14ac:dyDescent="0.2">
      <c r="B36" s="17" t="s">
        <v>16</v>
      </c>
      <c r="C36" s="11" t="s">
        <v>4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3">
        <f>SUM(D36:O36)</f>
        <v>0</v>
      </c>
    </row>
    <row r="37" spans="2:17" ht="18" customHeight="1" x14ac:dyDescent="0.2">
      <c r="B37" s="18"/>
      <c r="C37" s="11" t="s">
        <v>3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f>SUM(D37:O37)</f>
        <v>0</v>
      </c>
    </row>
    <row r="38" spans="2:17" ht="24" customHeight="1" x14ac:dyDescent="0.2">
      <c r="B38" s="19"/>
      <c r="C38" s="14" t="s">
        <v>7</v>
      </c>
      <c r="D38" s="15" t="e">
        <f t="shared" ref="D38" si="51">(D37-D36)/D36</f>
        <v>#DIV/0!</v>
      </c>
      <c r="E38" s="15" t="e">
        <f t="shared" ref="E38" si="52">(E37-E36)/E36</f>
        <v>#DIV/0!</v>
      </c>
      <c r="F38" s="15" t="e">
        <f t="shared" ref="F38" si="53">(F37-F36)/F36</f>
        <v>#DIV/0!</v>
      </c>
      <c r="G38" s="15" t="e">
        <f t="shared" ref="G38" si="54">(G37-G36)/G36</f>
        <v>#DIV/0!</v>
      </c>
      <c r="H38" s="15" t="e">
        <f t="shared" ref="H38:I38" si="55">(H37-H36)/H36</f>
        <v>#DIV/0!</v>
      </c>
      <c r="I38" s="15" t="e">
        <f t="shared" si="55"/>
        <v>#DIV/0!</v>
      </c>
      <c r="J38" s="15" t="e">
        <f t="shared" ref="J38" si="56">(J37-J36)/J36</f>
        <v>#DIV/0!</v>
      </c>
      <c r="K38" s="15" t="e">
        <f t="shared" ref="K38" si="57">(K37-K36)/K36</f>
        <v>#DIV/0!</v>
      </c>
      <c r="L38" s="15" t="e">
        <f t="shared" ref="L38" si="58">(L37-L36)/L36</f>
        <v>#DIV/0!</v>
      </c>
      <c r="M38" s="15" t="e">
        <f t="shared" ref="M38" si="59">(M37-M36)/M36</f>
        <v>#DIV/0!</v>
      </c>
      <c r="N38" s="15" t="e">
        <f t="shared" ref="N38" si="60">(N37-N36)/N36</f>
        <v>#DIV/0!</v>
      </c>
      <c r="O38" s="15" t="e">
        <f t="shared" ref="O38:P38" si="61">(O37-O36)/O36</f>
        <v>#DIV/0!</v>
      </c>
      <c r="P38" s="15" t="e">
        <f t="shared" si="61"/>
        <v>#DIV/0!</v>
      </c>
      <c r="Q38" s="15" t="e">
        <f t="shared" ref="Q38" si="62">(Q37-Q36)/Q36</f>
        <v>#DIV/0!</v>
      </c>
    </row>
    <row r="39" spans="2:17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2:17" ht="18" customHeight="1" x14ac:dyDescent="0.2">
      <c r="B40" s="17" t="s">
        <v>17</v>
      </c>
      <c r="C40" s="11" t="s">
        <v>4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3">
        <f>SUM(D40:O40)</f>
        <v>0</v>
      </c>
    </row>
    <row r="41" spans="2:17" ht="18" customHeight="1" x14ac:dyDescent="0.2">
      <c r="B41" s="18"/>
      <c r="C41" s="11" t="s">
        <v>3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f>SUM(D41:O41)</f>
        <v>0</v>
      </c>
    </row>
    <row r="42" spans="2:17" ht="24" customHeight="1" x14ac:dyDescent="0.2">
      <c r="B42" s="19"/>
      <c r="C42" s="14" t="s">
        <v>7</v>
      </c>
      <c r="D42" s="15" t="e">
        <f t="shared" ref="D42" si="63">(D41-D40)/D40</f>
        <v>#DIV/0!</v>
      </c>
      <c r="E42" s="15" t="e">
        <f t="shared" ref="E42" si="64">(E41-E40)/E40</f>
        <v>#DIV/0!</v>
      </c>
      <c r="F42" s="15" t="e">
        <f t="shared" ref="F42" si="65">(F41-F40)/F40</f>
        <v>#DIV/0!</v>
      </c>
      <c r="G42" s="15" t="e">
        <f t="shared" ref="G42" si="66">(G41-G40)/G40</f>
        <v>#DIV/0!</v>
      </c>
      <c r="H42" s="15" t="e">
        <f t="shared" ref="H42:I42" si="67">(H41-H40)/H40</f>
        <v>#DIV/0!</v>
      </c>
      <c r="I42" s="15" t="e">
        <f t="shared" si="67"/>
        <v>#DIV/0!</v>
      </c>
      <c r="J42" s="15" t="e">
        <f t="shared" ref="J42" si="68">(J41-J40)/J40</f>
        <v>#DIV/0!</v>
      </c>
      <c r="K42" s="15" t="e">
        <f t="shared" ref="K42" si="69">(K41-K40)/K40</f>
        <v>#DIV/0!</v>
      </c>
      <c r="L42" s="15" t="e">
        <f t="shared" ref="L42" si="70">(L41-L40)/L40</f>
        <v>#DIV/0!</v>
      </c>
      <c r="M42" s="15" t="e">
        <f t="shared" ref="M42" si="71">(M41-M40)/M40</f>
        <v>#DIV/0!</v>
      </c>
      <c r="N42" s="15" t="e">
        <f t="shared" ref="N42" si="72">(N41-N40)/N40</f>
        <v>#DIV/0!</v>
      </c>
      <c r="O42" s="15" t="e">
        <f t="shared" ref="O42:P42" si="73">(O41-O40)/O40</f>
        <v>#DIV/0!</v>
      </c>
      <c r="P42" s="15" t="e">
        <f t="shared" si="73"/>
        <v>#DIV/0!</v>
      </c>
      <c r="Q42" s="15" t="e">
        <f t="shared" ref="Q42" si="74">(Q41-Q40)/Q40</f>
        <v>#DIV/0!</v>
      </c>
    </row>
    <row r="43" spans="2:17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2:17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ht="18" customHeight="1" x14ac:dyDescent="0.2">
      <c r="B45" s="20" t="s">
        <v>5</v>
      </c>
      <c r="C45" s="21"/>
      <c r="D45" s="16">
        <f>SUM(D6,D10,D14,D18,D21,D24,D28,D32,D36,D40)</f>
        <v>1240</v>
      </c>
      <c r="E45" s="16">
        <f t="shared" ref="E45:P45" si="75">SUM(E6,E10,E14,E18,E21,E24,E28,E32,E36,E40)</f>
        <v>1050</v>
      </c>
      <c r="F45" s="16">
        <f t="shared" si="75"/>
        <v>1000</v>
      </c>
      <c r="G45" s="16">
        <f t="shared" si="75"/>
        <v>1050</v>
      </c>
      <c r="H45" s="16">
        <f t="shared" si="75"/>
        <v>1200</v>
      </c>
      <c r="I45" s="16">
        <f t="shared" si="75"/>
        <v>1200</v>
      </c>
      <c r="J45" s="16">
        <f t="shared" si="75"/>
        <v>1200</v>
      </c>
      <c r="K45" s="16">
        <f t="shared" si="75"/>
        <v>1050</v>
      </c>
      <c r="L45" s="16">
        <f t="shared" si="75"/>
        <v>1350</v>
      </c>
      <c r="M45" s="16">
        <f t="shared" si="75"/>
        <v>1050</v>
      </c>
      <c r="N45" s="16">
        <f t="shared" si="75"/>
        <v>1410</v>
      </c>
      <c r="O45" s="16">
        <f t="shared" si="75"/>
        <v>1050</v>
      </c>
      <c r="P45" s="16">
        <f t="shared" si="75"/>
        <v>1050</v>
      </c>
      <c r="Q45" s="16">
        <f>SUM(D45:O45)</f>
        <v>13850</v>
      </c>
    </row>
    <row r="46" spans="2:17" ht="18" customHeight="1" x14ac:dyDescent="0.2">
      <c r="B46" s="20" t="s">
        <v>6</v>
      </c>
      <c r="C46" s="21"/>
      <c r="D46" s="13">
        <f>SUM(D7,D11,D15,D19,D22,D25,D29,D33,D37,D41)</f>
        <v>1640</v>
      </c>
      <c r="E46" s="13">
        <f t="shared" ref="E46:P46" si="76">SUM(E7,E11,E15,E19,E22,E25,E29,E33,E37,E41)</f>
        <v>1200</v>
      </c>
      <c r="F46" s="13">
        <f t="shared" si="76"/>
        <v>1500</v>
      </c>
      <c r="G46" s="13">
        <f t="shared" si="76"/>
        <v>1200</v>
      </c>
      <c r="H46" s="13">
        <f t="shared" si="76"/>
        <v>1500</v>
      </c>
      <c r="I46" s="13">
        <f t="shared" si="76"/>
        <v>1500</v>
      </c>
      <c r="J46" s="13">
        <f t="shared" si="76"/>
        <v>1500</v>
      </c>
      <c r="K46" s="13">
        <f t="shared" si="76"/>
        <v>1200</v>
      </c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1200</v>
      </c>
      <c r="Q46" s="13">
        <f>SUM(D46:O46)</f>
        <v>16640</v>
      </c>
    </row>
    <row r="47" spans="2:17" ht="24" customHeight="1" x14ac:dyDescent="0.2">
      <c r="B47" s="22" t="s">
        <v>8</v>
      </c>
      <c r="C47" s="23"/>
      <c r="D47" s="15">
        <f t="shared" ref="D47" si="77">(D46-D45)/D45</f>
        <v>0.32258064516129031</v>
      </c>
      <c r="E47" s="15">
        <f t="shared" ref="E47" si="78">(E46-E45)/E45</f>
        <v>0.14285714285714285</v>
      </c>
      <c r="F47" s="15">
        <f t="shared" ref="F47" si="79">(F46-F45)/F45</f>
        <v>0.5</v>
      </c>
      <c r="G47" s="15">
        <f t="shared" ref="G47" si="80">(G46-G45)/G45</f>
        <v>0.14285714285714285</v>
      </c>
      <c r="H47" s="15">
        <f t="shared" ref="H47:I47" si="81">(H46-H45)/H45</f>
        <v>0.25</v>
      </c>
      <c r="I47" s="15">
        <f t="shared" si="81"/>
        <v>0.25</v>
      </c>
      <c r="J47" s="15">
        <f t="shared" ref="J47" si="82">(J46-J45)/J45</f>
        <v>0.25</v>
      </c>
      <c r="K47" s="15">
        <f t="shared" ref="K47" si="83">(K46-K45)/K45</f>
        <v>0.14285714285714285</v>
      </c>
      <c r="L47" s="15">
        <f t="shared" ref="L47" si="84">(L46-L45)/L45</f>
        <v>0.1111111111111111</v>
      </c>
      <c r="M47" s="15">
        <f t="shared" ref="M47" si="85">(M46-M45)/M45</f>
        <v>0.14285714285714285</v>
      </c>
      <c r="N47" s="15">
        <f t="shared" ref="N47" si="86">(N46-N45)/N45</f>
        <v>6.3829787234042548E-2</v>
      </c>
      <c r="O47" s="15">
        <f t="shared" ref="O47:P47" si="87">(O46-O45)/O45</f>
        <v>0.14285714285714285</v>
      </c>
      <c r="P47" s="15">
        <f t="shared" si="87"/>
        <v>0.14285714285714285</v>
      </c>
      <c r="Q47" s="15">
        <v>0.22</v>
      </c>
    </row>
    <row r="48" spans="2:17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221" spans="17:17" x14ac:dyDescent="0.2">
      <c r="Q221" s="1">
        <v>232</v>
      </c>
    </row>
  </sheetData>
  <autoFilter ref="B5:Q8" xr:uid="{D5F043BD-A110-483F-9B34-81FABF770DB3}"/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E20:H20 E23:H23 E26:H26 E30:H30 E34:H34 E38:H38 E42:H42 Q20 Q23 Q26 Q30 Q34 Q38 Q42 J42:O42 J38:O38 J34:O34 J30:O30 J26:O26 J23:O23 J20:O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4C525D57BB7948A9E118F2E010CF02" ma:contentTypeVersion="4" ma:contentTypeDescription="Create a new document." ma:contentTypeScope="" ma:versionID="625ad1061327274e00f7a1a77c1c1776">
  <xsd:schema xmlns:xsd="http://www.w3.org/2001/XMLSchema" xmlns:xs="http://www.w3.org/2001/XMLSchema" xmlns:p="http://schemas.microsoft.com/office/2006/metadata/properties" xmlns:ns2="f543afb8-d34b-4344-8508-968f68311eb6" xmlns:ns3="ae8ce6b9-bcd0-42d4-8e85-cb094b2ccecd" targetNamespace="http://schemas.microsoft.com/office/2006/metadata/properties" ma:root="true" ma:fieldsID="dc380a546b4c57a1ee9a7efaf398f273" ns2:_="" ns3:_="">
    <xsd:import namespace="f543afb8-d34b-4344-8508-968f68311eb6"/>
    <xsd:import namespace="ae8ce6b9-bcd0-42d4-8e85-cb094b2cce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43afb8-d34b-4344-8508-968f68311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8ce6b9-bcd0-42d4-8e85-cb094b2cce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2A0332-A288-423C-8287-1256F4CF7A86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ae8ce6b9-bcd0-42d4-8e85-cb094b2ccecd"/>
    <ds:schemaRef ds:uri="http://purl.org/dc/elements/1.1/"/>
    <ds:schemaRef ds:uri="f543afb8-d34b-4344-8508-968f68311eb6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264CB2B-38D4-4B9F-9568-93498E34DA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43afb8-d34b-4344-8508-968f68311eb6"/>
    <ds:schemaRef ds:uri="ae8ce6b9-bcd0-42d4-8e85-cb094b2cce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31C960-AF49-4B24-900B-662F984D0AA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2024-03-20T09:16:43Z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0x0101007B4C525D57BB7948A9E118F2E010CF02</vt:lpwstr>
  </property>
</Properties>
</file>